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even\Personal Files\GirlsPlusPlus\"/>
    </mc:Choice>
  </mc:AlternateContent>
  <bookViews>
    <workbookView xWindow="0" yWindow="0" windowWidth="14370" windowHeight="8265" activeTab="5"/>
  </bookViews>
  <sheets>
    <sheet name="Profile" sheetId="2" r:id="rId1"/>
    <sheet name="Gender" sheetId="4" r:id="rId2"/>
    <sheet name="Classification" sheetId="5" r:id="rId3"/>
    <sheet name="MemberType" sheetId="1" r:id="rId4"/>
    <sheet name="Meeting" sheetId="3" r:id="rId5"/>
    <sheet name="Attendance" sheetId="6" r:id="rId6"/>
    <sheet name="Sheet1" sheetId="10" r:id="rId7"/>
    <sheet name="Links" sheetId="7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2" i="2" l="1"/>
  <c r="B12" i="10"/>
  <c r="B13" i="10"/>
  <c r="B14" i="10"/>
  <c r="B15" i="10"/>
  <c r="B11" i="10"/>
  <c r="B19" i="10"/>
  <c r="B18" i="10"/>
  <c r="B3" i="10"/>
  <c r="B4" i="10"/>
  <c r="B5" i="10"/>
  <c r="B6" i="10"/>
  <c r="B7" i="10"/>
  <c r="B8" i="10"/>
  <c r="B2" i="10"/>
  <c r="F10" i="6"/>
  <c r="F5" i="6"/>
  <c r="F12" i="6"/>
  <c r="F11" i="6"/>
  <c r="F15" i="2"/>
  <c r="F8" i="3"/>
  <c r="F9" i="3"/>
  <c r="F11" i="2"/>
  <c r="F10" i="2"/>
  <c r="F14" i="2"/>
  <c r="F13" i="2"/>
  <c r="F9" i="2"/>
  <c r="F8" i="2"/>
  <c r="F6" i="6"/>
  <c r="F7" i="6"/>
  <c r="F8" i="6"/>
  <c r="F9" i="6"/>
  <c r="F4" i="6"/>
  <c r="F5" i="3"/>
  <c r="F6" i="3"/>
  <c r="F7" i="3"/>
  <c r="F4" i="3"/>
  <c r="F4" i="1"/>
  <c r="F4" i="5"/>
  <c r="F5" i="2"/>
  <c r="F6" i="2"/>
  <c r="F7" i="2"/>
  <c r="F4" i="2"/>
  <c r="F4" i="4"/>
  <c r="F3" i="1" l="1"/>
  <c r="F3" i="2"/>
  <c r="F3" i="3"/>
  <c r="F3" i="4"/>
  <c r="F3" i="5"/>
  <c r="F2" i="5"/>
  <c r="F2" i="4"/>
  <c r="F2" i="3"/>
  <c r="F2" i="2"/>
  <c r="F2" i="1"/>
  <c r="F3" i="6"/>
  <c r="F2" i="6"/>
</calcChain>
</file>

<file path=xl/sharedStrings.xml><?xml version="1.0" encoding="utf-8"?>
<sst xmlns="http://schemas.openxmlformats.org/spreadsheetml/2006/main" count="140" uniqueCount="61">
  <si>
    <t>https://stackoverflow.com/questions/22195065/how-to-send-a-json-object-using-html-form-data</t>
  </si>
  <si>
    <t>https://www.leaseweb.com/labs/2015/10/creating-a-simple-rest-api-in-php/</t>
  </si>
  <si>
    <t>https://developer.android.com/reference/org/json/package-summary</t>
  </si>
  <si>
    <t>Android JSON</t>
  </si>
  <si>
    <t>https://stackoverflow.com/questions/2938502/sending-post-data-in-android</t>
  </si>
  <si>
    <t>Android HTTP</t>
  </si>
  <si>
    <t>tid</t>
  </si>
  <si>
    <t>lastname</t>
  </si>
  <si>
    <t>firstname</t>
  </si>
  <si>
    <t>title</t>
  </si>
  <si>
    <t>ipaddress</t>
  </si>
  <si>
    <t>latitude</t>
  </si>
  <si>
    <t>longitude</t>
  </si>
  <si>
    <t>datetime</t>
  </si>
  <si>
    <t>Table:</t>
  </si>
  <si>
    <t>column</t>
  </si>
  <si>
    <t>type</t>
  </si>
  <si>
    <t>primary key</t>
  </si>
  <si>
    <t>foreign key</t>
  </si>
  <si>
    <t>integer</t>
  </si>
  <si>
    <t>varchar(24)</t>
  </si>
  <si>
    <t>float</t>
  </si>
  <si>
    <t>varchar(40)</t>
  </si>
  <si>
    <t>y</t>
  </si>
  <si>
    <t>Student</t>
  </si>
  <si>
    <t>email</t>
  </si>
  <si>
    <t>major</t>
  </si>
  <si>
    <t>gender</t>
  </si>
  <si>
    <t>classification</t>
  </si>
  <si>
    <t>Classification</t>
  </si>
  <si>
    <t>Gender</t>
  </si>
  <si>
    <t>membertype</t>
  </si>
  <si>
    <t>MemberType</t>
  </si>
  <si>
    <t>memberType</t>
  </si>
  <si>
    <t>source</t>
  </si>
  <si>
    <t>varchar(255)</t>
  </si>
  <si>
    <t>meetingdate</t>
  </si>
  <si>
    <t>description</t>
  </si>
  <si>
    <t>location</t>
  </si>
  <si>
    <t>profile</t>
  </si>
  <si>
    <t>logintime</t>
  </si>
  <si>
    <t>Profile</t>
  </si>
  <si>
    <t>meeting</t>
  </si>
  <si>
    <t>Meeting</t>
  </si>
  <si>
    <t>Attendance</t>
  </si>
  <si>
    <t>feedback</t>
  </si>
  <si>
    <t>Pre-College</t>
  </si>
  <si>
    <t>Freshman</t>
  </si>
  <si>
    <t>Sophomore</t>
  </si>
  <si>
    <t>Junior</t>
  </si>
  <si>
    <t>Senior</t>
  </si>
  <si>
    <t>Advisor</t>
  </si>
  <si>
    <t>Grad Student</t>
  </si>
  <si>
    <t>Female</t>
  </si>
  <si>
    <t>Trans</t>
  </si>
  <si>
    <t>Non-Binary</t>
  </si>
  <si>
    <t>Fluid</t>
  </si>
  <si>
    <t>Male</t>
  </si>
  <si>
    <t>Admin</t>
  </si>
  <si>
    <t>password</t>
  </si>
  <si>
    <t>varchar(80)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</si>
</sst>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</xdr:row>
          <xdr:rowOff>57150</xdr:rowOff>
        </xdr:from>
        <xdr:to>
          <xdr:col>13</xdr:col>
          <xdr:colOff>57150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2</xdr:row>
          <xdr:rowOff>57150</xdr:rowOff>
        </xdr:from>
        <xdr:to>
          <xdr:col>11</xdr:col>
          <xdr:colOff>542925</xdr:colOff>
          <xdr:row>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1</xdr:row>
          <xdr:rowOff>57150</xdr:rowOff>
        </xdr:from>
        <xdr:to>
          <xdr:col>12</xdr:col>
          <xdr:colOff>552450</xdr:colOff>
          <xdr:row>3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1</xdr:row>
          <xdr:rowOff>57150</xdr:rowOff>
        </xdr:from>
        <xdr:to>
          <xdr:col>14</xdr:col>
          <xdr:colOff>542925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285750</xdr:colOff>
          <xdr:row>1</xdr:row>
          <xdr:rowOff>57150</xdr:rowOff>
        </xdr:from>
        <xdr:to>
          <xdr:col>14</xdr:col>
          <xdr:colOff>228600</xdr:colOff>
          <xdr:row>3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28575</xdr:colOff>
          <xdr:row>1</xdr:row>
          <xdr:rowOff>57150</xdr:rowOff>
        </xdr:from>
        <xdr:to>
          <xdr:col>10</xdr:col>
          <xdr:colOff>581025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15"/>
  <sheetViews>
    <sheetView workbookViewId="0">
      <selection activeCell="B17" sqref="B17"/>
    </sheetView>
  </sheetViews>
  <sheetFormatPr defaultRowHeight="15" x14ac:dyDescent="0.25"/>
  <cols>
    <col min="1" max="1" width="14.42578125" customWidth="1"/>
    <col min="2" max="2" width="24.42578125" customWidth="1"/>
    <col min="3" max="3" width="17.7109375" customWidth="1"/>
    <col min="4" max="4" width="23.42578125" customWidth="1"/>
    <col min="5" max="5" width="19.28515625" customWidth="1"/>
    <col min="6" max="6" width="40.7109375" bestFit="1" customWidth="1"/>
  </cols>
  <sheetData>
    <row r="1" spans="1:12" x14ac:dyDescent="0.25">
      <c r="A1" t="s">
        <v>14</v>
      </c>
      <c r="B1" t="s">
        <v>41</v>
      </c>
      <c r="L1" s="1"/>
    </row>
    <row r="2" spans="1:12" x14ac:dyDescent="0.25">
      <c r="A2" t="s">
        <v>15</v>
      </c>
      <c r="B2" t="s">
        <v>16</v>
      </c>
      <c r="C2" t="s">
        <v>17</v>
      </c>
      <c r="D2" t="s">
        <v>18</v>
      </c>
      <c r="F2" t="str">
        <f>"create table " &amp; B1 &amp; "("</f>
        <v>create table Profile(</v>
      </c>
    </row>
    <row r="3" spans="1:12" x14ac:dyDescent="0.25">
      <c r="A3" t="s">
        <v>6</v>
      </c>
      <c r="B3" t="s">
        <v>19</v>
      </c>
      <c r="C3" t="s">
        <v>23</v>
      </c>
      <c r="F3" t="str">
        <f>A3&amp;" "&amp;B3&amp;" AUTO_INCREMENT PRIMARY KEY,"</f>
        <v>tid integer AUTO_INCREMENT PRIMARY KEY,</v>
      </c>
    </row>
    <row r="4" spans="1:12" x14ac:dyDescent="0.25">
      <c r="A4" t="s">
        <v>25</v>
      </c>
      <c r="B4" t="s">
        <v>60</v>
      </c>
      <c r="F4" t="str">
        <f>IF(D4 = "Y", "FOREIGN KEY(" &amp; A4 &amp; ") references " &amp; B4 &amp; "(tid),", A4 &amp; " " &amp; B4 &amp; ",")</f>
        <v>email varchar(80),</v>
      </c>
    </row>
    <row r="5" spans="1:12" x14ac:dyDescent="0.25">
      <c r="A5" t="s">
        <v>7</v>
      </c>
      <c r="B5" t="s">
        <v>22</v>
      </c>
      <c r="F5" t="str">
        <f t="shared" ref="F5:F15" si="0">IF(D5 = "Y", "FOREIGN KEY(" &amp; A5 &amp; ") references " &amp; B5 &amp; "(tid),", A5 &amp; " " &amp; B5 &amp; ",")</f>
        <v>lastname varchar(40),</v>
      </c>
    </row>
    <row r="6" spans="1:12" x14ac:dyDescent="0.25">
      <c r="A6" t="s">
        <v>8</v>
      </c>
      <c r="B6" t="s">
        <v>22</v>
      </c>
      <c r="F6" t="str">
        <f t="shared" si="0"/>
        <v>firstname varchar(40),</v>
      </c>
    </row>
    <row r="7" spans="1:12" x14ac:dyDescent="0.25">
      <c r="A7" t="s">
        <v>26</v>
      </c>
      <c r="B7" t="s">
        <v>22</v>
      </c>
      <c r="F7" t="str">
        <f t="shared" si="0"/>
        <v>major varchar(40),</v>
      </c>
    </row>
    <row r="8" spans="1:12" x14ac:dyDescent="0.25">
      <c r="A8" t="s">
        <v>27</v>
      </c>
      <c r="B8" t="s">
        <v>19</v>
      </c>
      <c r="F8" t="str">
        <f t="shared" si="0"/>
        <v>gender integer,</v>
      </c>
    </row>
    <row r="9" spans="1:12" x14ac:dyDescent="0.25">
      <c r="A9" s="1" t="s">
        <v>28</v>
      </c>
      <c r="B9" t="s">
        <v>19</v>
      </c>
      <c r="F9" s="1" t="str">
        <f t="shared" si="0"/>
        <v>classification integer,</v>
      </c>
    </row>
    <row r="10" spans="1:12" x14ac:dyDescent="0.25">
      <c r="A10" s="1" t="s">
        <v>31</v>
      </c>
      <c r="B10" t="s">
        <v>19</v>
      </c>
      <c r="F10" s="1" t="str">
        <f t="shared" si="0"/>
        <v>membertype integer,</v>
      </c>
    </row>
    <row r="11" spans="1:12" x14ac:dyDescent="0.25">
      <c r="A11" s="1" t="s">
        <v>34</v>
      </c>
      <c r="B11" t="s">
        <v>35</v>
      </c>
      <c r="F11" s="1" t="str">
        <f t="shared" si="0"/>
        <v>source varchar(255),</v>
      </c>
    </row>
    <row r="12" spans="1:12" x14ac:dyDescent="0.25">
      <c r="A12" s="1" t="s">
        <v>59</v>
      </c>
      <c r="B12" t="s">
        <v>22</v>
      </c>
      <c r="F12" s="1" t="str">
        <f t="shared" si="0"/>
        <v>password varchar(40),</v>
      </c>
    </row>
    <row r="13" spans="1:12" x14ac:dyDescent="0.25">
      <c r="A13" t="s">
        <v>27</v>
      </c>
      <c r="B13" t="s">
        <v>30</v>
      </c>
      <c r="D13" t="s">
        <v>23</v>
      </c>
      <c r="F13" t="str">
        <f t="shared" si="0"/>
        <v>FOREIGN KEY(gender) references Gender(tid),</v>
      </c>
    </row>
    <row r="14" spans="1:12" x14ac:dyDescent="0.25">
      <c r="A14" t="s">
        <v>28</v>
      </c>
      <c r="B14" t="s">
        <v>29</v>
      </c>
      <c r="D14" t="s">
        <v>23</v>
      </c>
      <c r="F14" t="str">
        <f t="shared" si="0"/>
        <v>FOREIGN KEY(classification) references Classification(tid),</v>
      </c>
    </row>
    <row r="15" spans="1:12" x14ac:dyDescent="0.25">
      <c r="A15" t="s">
        <v>31</v>
      </c>
      <c r="B15" t="s">
        <v>32</v>
      </c>
      <c r="D15" t="s">
        <v>23</v>
      </c>
      <c r="F15" t="str">
        <f t="shared" si="0"/>
        <v>FOREIGN KEY(membertype) references MemberType(tid),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reate_table">
                <anchor moveWithCells="1" sizeWithCells="1">
                  <from>
                    <xdr:col>11</xdr:col>
                    <xdr:colOff>114300</xdr:colOff>
                    <xdr:row>1</xdr:row>
                    <xdr:rowOff>57150</xdr:rowOff>
                  </from>
                  <to>
                    <xdr:col>13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10"/>
  <sheetViews>
    <sheetView workbookViewId="0">
      <selection activeCell="B2" sqref="B2"/>
    </sheetView>
  </sheetViews>
  <sheetFormatPr defaultRowHeight="15" x14ac:dyDescent="0.25"/>
  <cols>
    <col min="1" max="1" width="13.42578125" customWidth="1"/>
    <col min="2" max="2" width="16.85546875" customWidth="1"/>
    <col min="3" max="3" width="19" customWidth="1"/>
    <col min="4" max="4" width="20.7109375" customWidth="1"/>
    <col min="5" max="5" width="20.140625" customWidth="1"/>
    <col min="6" max="6" width="24" customWidth="1"/>
  </cols>
  <sheetData>
    <row r="1" spans="1:12" x14ac:dyDescent="0.25">
      <c r="A1" t="s">
        <v>14</v>
      </c>
      <c r="B1" t="s">
        <v>30</v>
      </c>
      <c r="L1" s="1"/>
    </row>
    <row r="2" spans="1:12" x14ac:dyDescent="0.25">
      <c r="A2" t="s">
        <v>15</v>
      </c>
      <c r="B2" t="s">
        <v>16</v>
      </c>
      <c r="C2" t="s">
        <v>17</v>
      </c>
      <c r="D2" t="s">
        <v>18</v>
      </c>
      <c r="F2" t="str">
        <f>"create table " &amp; B1 &amp; "("</f>
        <v>create table Gender(</v>
      </c>
    </row>
    <row r="3" spans="1:12" x14ac:dyDescent="0.25">
      <c r="A3" t="s">
        <v>6</v>
      </c>
      <c r="B3" t="s">
        <v>19</v>
      </c>
      <c r="C3" t="s">
        <v>23</v>
      </c>
      <c r="F3" t="str">
        <f>A3&amp;" "&amp;B3&amp;" AUTO_INCREMENT PRIMARY KEY,"</f>
        <v>tid integer AUTO_INCREMENT PRIMARY KEY,</v>
      </c>
    </row>
    <row r="4" spans="1:12" x14ac:dyDescent="0.25">
      <c r="A4" t="s">
        <v>16</v>
      </c>
      <c r="B4" t="s">
        <v>22</v>
      </c>
      <c r="F4" t="str">
        <f>IF(D4 = "Y", "FOREIGN KEY(" &amp; A4 &amp; ") references " &amp; B4 &amp; "(tid),", A4 &amp; " " &amp; B4 &amp; ",")</f>
        <v>type varchar(40),</v>
      </c>
    </row>
    <row r="10" spans="1:12" x14ac:dyDescent="0.25">
      <c r="A10" s="1"/>
      <c r="F10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create_table">
                <anchor moveWithCells="1" sizeWithCells="1">
                  <from>
                    <xdr:col>9</xdr:col>
                    <xdr:colOff>600075</xdr:colOff>
                    <xdr:row>2</xdr:row>
                    <xdr:rowOff>57150</xdr:rowOff>
                  </from>
                  <to>
                    <xdr:col>11</xdr:col>
                    <xdr:colOff>542925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7"/>
  <sheetViews>
    <sheetView workbookViewId="0">
      <selection activeCell="C4" sqref="C4"/>
    </sheetView>
  </sheetViews>
  <sheetFormatPr defaultRowHeight="15" x14ac:dyDescent="0.25"/>
  <cols>
    <col min="1" max="1" width="23.42578125" customWidth="1"/>
    <col min="2" max="2" width="18.5703125" customWidth="1"/>
    <col min="3" max="3" width="26.28515625" customWidth="1"/>
  </cols>
  <sheetData>
    <row r="1" spans="1:6" x14ac:dyDescent="0.25">
      <c r="A1" t="s">
        <v>14</v>
      </c>
      <c r="B1" t="s">
        <v>29</v>
      </c>
    </row>
    <row r="2" spans="1:6" x14ac:dyDescent="0.25">
      <c r="A2" t="s">
        <v>15</v>
      </c>
      <c r="B2" t="s">
        <v>16</v>
      </c>
      <c r="C2" t="s">
        <v>17</v>
      </c>
      <c r="D2" t="s">
        <v>18</v>
      </c>
      <c r="F2" t="str">
        <f>"create table " &amp; B1 &amp; "("</f>
        <v>create table Classification(</v>
      </c>
    </row>
    <row r="3" spans="1:6" x14ac:dyDescent="0.25">
      <c r="A3" t="s">
        <v>6</v>
      </c>
      <c r="B3" t="s">
        <v>19</v>
      </c>
      <c r="C3" t="s">
        <v>23</v>
      </c>
      <c r="F3" t="str">
        <f>A3&amp;" "&amp;B3&amp;" AUTO_INCREMENT PRIMARY KEY,"</f>
        <v>tid integer AUTO_INCREMENT PRIMARY KEY,</v>
      </c>
    </row>
    <row r="4" spans="1:6" x14ac:dyDescent="0.25">
      <c r="A4" t="s">
        <v>28</v>
      </c>
      <c r="B4" t="s">
        <v>22</v>
      </c>
      <c r="F4" t="str">
        <f>IF(D4 = "Y", "FOREIGN KEY(" &amp; A4 &amp; ") references " &amp; B4 &amp; "(tid),", A4 &amp; " " &amp; B4 &amp; ",")</f>
        <v>classification varchar(40),</v>
      </c>
    </row>
    <row r="7" spans="1:6" x14ac:dyDescent="0.25">
      <c r="A7" s="1"/>
      <c r="F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reate_table">
                <anchor moveWithCells="1" sizeWithCells="1">
                  <from>
                    <xdr:col>11</xdr:col>
                    <xdr:colOff>0</xdr:colOff>
                    <xdr:row>1</xdr:row>
                    <xdr:rowOff>57150</xdr:rowOff>
                  </from>
                  <to>
                    <xdr:col>12</xdr:col>
                    <xdr:colOff>552450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9"/>
  <sheetViews>
    <sheetView workbookViewId="0">
      <selection activeCell="B2" sqref="B2"/>
    </sheetView>
  </sheetViews>
  <sheetFormatPr defaultRowHeight="15" x14ac:dyDescent="0.25"/>
  <cols>
    <col min="1" max="1" width="20" customWidth="1"/>
    <col min="2" max="2" width="17.42578125" customWidth="1"/>
    <col min="3" max="3" width="23.7109375" customWidth="1"/>
    <col min="4" max="4" width="16.42578125" customWidth="1"/>
    <col min="6" max="6" width="9.140625" customWidth="1"/>
  </cols>
  <sheetData>
    <row r="1" spans="1:12" x14ac:dyDescent="0.25">
      <c r="A1" t="s">
        <v>14</v>
      </c>
      <c r="B1" t="s">
        <v>32</v>
      </c>
      <c r="L1" s="1"/>
    </row>
    <row r="2" spans="1:12" x14ac:dyDescent="0.25">
      <c r="A2" t="s">
        <v>15</v>
      </c>
      <c r="B2" t="s">
        <v>16</v>
      </c>
      <c r="C2" t="s">
        <v>17</v>
      </c>
      <c r="D2" t="s">
        <v>18</v>
      </c>
      <c r="F2" t="str">
        <f>"create table " &amp; B1 &amp; "("</f>
        <v>create table MemberType(</v>
      </c>
    </row>
    <row r="3" spans="1:12" x14ac:dyDescent="0.25">
      <c r="A3" t="s">
        <v>6</v>
      </c>
      <c r="B3" t="s">
        <v>19</v>
      </c>
      <c r="C3" t="s">
        <v>23</v>
      </c>
      <c r="F3" t="str">
        <f>A3&amp;" "&amp;B3&amp;" AUTO_INCREMENT PRIMARY KEY,"</f>
        <v>tid integer AUTO_INCREMENT PRIMARY KEY,</v>
      </c>
    </row>
    <row r="4" spans="1:12" x14ac:dyDescent="0.25">
      <c r="A4" t="s">
        <v>33</v>
      </c>
      <c r="B4" t="s">
        <v>22</v>
      </c>
      <c r="F4" t="str">
        <f>IF(D4 = "Y", "FOREIGN KEY(" &amp; A4 &amp; ") references " &amp; B4 &amp; "(tid),", A4 &amp; " " &amp; B4 &amp; ",")</f>
        <v>memberType varchar(40),</v>
      </c>
    </row>
    <row r="9" spans="1:12" x14ac:dyDescent="0.25">
      <c r="A9" s="1"/>
      <c r="F9" s="1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_table">
                <anchor moveWithCells="1" sizeWithCells="1">
                  <from>
                    <xdr:col>12</xdr:col>
                    <xdr:colOff>600075</xdr:colOff>
                    <xdr:row>1</xdr:row>
                    <xdr:rowOff>57150</xdr:rowOff>
                  </from>
                  <to>
                    <xdr:col>14</xdr:col>
                    <xdr:colOff>542925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L9"/>
  <sheetViews>
    <sheetView workbookViewId="0">
      <selection activeCell="A9" sqref="A9"/>
    </sheetView>
  </sheetViews>
  <sheetFormatPr defaultRowHeight="15" x14ac:dyDescent="0.25"/>
  <cols>
    <col min="1" max="1" width="12.42578125" bestFit="1" customWidth="1"/>
    <col min="2" max="2" width="19.28515625" customWidth="1"/>
    <col min="3" max="3" width="26.42578125" customWidth="1"/>
  </cols>
  <sheetData>
    <row r="1" spans="1:12" x14ac:dyDescent="0.25">
      <c r="A1" t="s">
        <v>14</v>
      </c>
      <c r="B1" t="s">
        <v>43</v>
      </c>
      <c r="L1" s="1"/>
    </row>
    <row r="2" spans="1:12" x14ac:dyDescent="0.25">
      <c r="A2" t="s">
        <v>15</v>
      </c>
      <c r="B2" t="s">
        <v>16</v>
      </c>
      <c r="C2" t="s">
        <v>17</v>
      </c>
      <c r="D2" t="s">
        <v>18</v>
      </c>
      <c r="F2" t="str">
        <f>"create table " &amp; B1 &amp; "("</f>
        <v>create table Meeting(</v>
      </c>
    </row>
    <row r="3" spans="1:12" x14ac:dyDescent="0.25">
      <c r="A3" t="s">
        <v>6</v>
      </c>
      <c r="B3" t="s">
        <v>19</v>
      </c>
      <c r="C3" t="s">
        <v>23</v>
      </c>
      <c r="F3" t="str">
        <f>A3&amp;" "&amp;B3&amp;" AUTO_INCREMENT PRIMARY KEY,"</f>
        <v>tid integer AUTO_INCREMENT PRIMARY KEY,</v>
      </c>
    </row>
    <row r="4" spans="1:12" x14ac:dyDescent="0.25">
      <c r="A4" t="s">
        <v>36</v>
      </c>
      <c r="B4" t="s">
        <v>13</v>
      </c>
      <c r="F4" t="str">
        <f>IF(D4 = "Y", "FOREIGN KEY(" &amp; A4 &amp; ") references " &amp; B4 &amp; "(tid),", A4 &amp; " " &amp; B4 &amp; ",")</f>
        <v>meetingdate datetime,</v>
      </c>
    </row>
    <row r="5" spans="1:12" x14ac:dyDescent="0.25">
      <c r="A5" t="s">
        <v>9</v>
      </c>
      <c r="B5" t="s">
        <v>22</v>
      </c>
      <c r="F5" t="str">
        <f t="shared" ref="F5:F9" si="0">IF(D5 = "Y", "FOREIGN KEY(" &amp; A5 &amp; ") references " &amp; B5 &amp; "(tid),", A5 &amp; " " &amp; B5 &amp; ",")</f>
        <v>title varchar(40),</v>
      </c>
    </row>
    <row r="6" spans="1:12" x14ac:dyDescent="0.25">
      <c r="A6" t="s">
        <v>37</v>
      </c>
      <c r="B6" t="s">
        <v>35</v>
      </c>
      <c r="F6" t="str">
        <f t="shared" si="0"/>
        <v>description varchar(255),</v>
      </c>
    </row>
    <row r="7" spans="1:12" x14ac:dyDescent="0.25">
      <c r="A7" t="s">
        <v>38</v>
      </c>
      <c r="B7" t="s">
        <v>35</v>
      </c>
      <c r="F7" t="str">
        <f t="shared" si="0"/>
        <v>location varchar(255),</v>
      </c>
    </row>
    <row r="8" spans="1:12" x14ac:dyDescent="0.25">
      <c r="A8" t="s">
        <v>11</v>
      </c>
      <c r="B8" t="s">
        <v>21</v>
      </c>
      <c r="F8" t="str">
        <f t="shared" si="0"/>
        <v>latitude float,</v>
      </c>
    </row>
    <row r="9" spans="1:12" x14ac:dyDescent="0.25">
      <c r="A9" t="s">
        <v>12</v>
      </c>
      <c r="B9" t="s">
        <v>21</v>
      </c>
      <c r="F9" t="str">
        <f t="shared" si="0"/>
        <v>longitude float,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reate_table">
                <anchor moveWithCells="1" sizeWithCells="1">
                  <from>
                    <xdr:col>12</xdr:col>
                    <xdr:colOff>285750</xdr:colOff>
                    <xdr:row>1</xdr:row>
                    <xdr:rowOff>57150</xdr:rowOff>
                  </from>
                  <to>
                    <xdr:col>14</xdr:col>
                    <xdr:colOff>228600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L12"/>
  <sheetViews>
    <sheetView tabSelected="1" workbookViewId="0">
      <selection activeCell="G12" sqref="G12"/>
    </sheetView>
  </sheetViews>
  <sheetFormatPr defaultRowHeight="15" x14ac:dyDescent="0.25"/>
  <cols>
    <col min="1" max="1" width="25.5703125" customWidth="1"/>
    <col min="2" max="2" width="18.5703125" customWidth="1"/>
    <col min="3" max="3" width="23" customWidth="1"/>
    <col min="4" max="4" width="13.28515625" customWidth="1"/>
    <col min="5" max="5" width="16.140625" customWidth="1"/>
    <col min="6" max="6" width="23.5703125" customWidth="1"/>
    <col min="7" max="7" width="17" customWidth="1"/>
  </cols>
  <sheetData>
    <row r="1" spans="1:12" x14ac:dyDescent="0.25">
      <c r="A1" t="s">
        <v>14</v>
      </c>
      <c r="B1" t="s">
        <v>44</v>
      </c>
      <c r="L1" s="1"/>
    </row>
    <row r="2" spans="1:12" x14ac:dyDescent="0.25">
      <c r="A2" t="s">
        <v>15</v>
      </c>
      <c r="B2" t="s">
        <v>16</v>
      </c>
      <c r="C2" t="s">
        <v>17</v>
      </c>
      <c r="D2" t="s">
        <v>18</v>
      </c>
      <c r="F2" t="str">
        <f>"create table " &amp; B1 &amp; "("</f>
        <v>create table Attendance(</v>
      </c>
    </row>
    <row r="3" spans="1:12" x14ac:dyDescent="0.25">
      <c r="A3" t="s">
        <v>6</v>
      </c>
      <c r="B3" t="s">
        <v>19</v>
      </c>
      <c r="C3" t="s">
        <v>23</v>
      </c>
      <c r="F3" t="str">
        <f>A3&amp;" "&amp;B3&amp;" AUTO_INCREMENT PRIMARY KEY,"</f>
        <v>tid integer AUTO_INCREMENT PRIMARY KEY,</v>
      </c>
    </row>
    <row r="4" spans="1:12" x14ac:dyDescent="0.25">
      <c r="A4" t="s">
        <v>39</v>
      </c>
      <c r="B4" t="s">
        <v>19</v>
      </c>
      <c r="F4" t="str">
        <f>IF(D4 = "Y", "FOREIGN KEY(" &amp; A4 &amp; ") references " &amp; B4 &amp; "(tid),", A4 &amp; " " &amp; B4 &amp; ",")</f>
        <v>profile integer,</v>
      </c>
    </row>
    <row r="5" spans="1:12" x14ac:dyDescent="0.25">
      <c r="A5" t="s">
        <v>42</v>
      </c>
      <c r="B5" t="s">
        <v>19</v>
      </c>
      <c r="F5" t="str">
        <f>IF(D5 = "Y", "FOREIGN KEY(" &amp; A5 &amp; ") references " &amp; B5 &amp; "(tid),", A5 &amp; " " &amp; B5 &amp; ",")</f>
        <v>meeting integer,</v>
      </c>
    </row>
    <row r="6" spans="1:12" x14ac:dyDescent="0.25">
      <c r="A6" t="s">
        <v>10</v>
      </c>
      <c r="B6" t="s">
        <v>20</v>
      </c>
      <c r="F6" t="str">
        <f t="shared" ref="F6:F14" si="0">IF(D6 = "Y", "FOREIGN KEY(" &amp; A6 &amp; ") references " &amp; B6 &amp; "(tid),", A6 &amp; " " &amp; B6 &amp; ",")</f>
        <v>ipaddress varchar(24),</v>
      </c>
    </row>
    <row r="7" spans="1:12" x14ac:dyDescent="0.25">
      <c r="A7" t="s">
        <v>11</v>
      </c>
      <c r="B7" t="s">
        <v>21</v>
      </c>
      <c r="F7" t="str">
        <f t="shared" si="0"/>
        <v>latitude float,</v>
      </c>
    </row>
    <row r="8" spans="1:12" x14ac:dyDescent="0.25">
      <c r="A8" t="s">
        <v>12</v>
      </c>
      <c r="B8" t="s">
        <v>21</v>
      </c>
      <c r="F8" t="str">
        <f t="shared" si="0"/>
        <v>longitude float,</v>
      </c>
    </row>
    <row r="9" spans="1:12" x14ac:dyDescent="0.25">
      <c r="A9" t="s">
        <v>40</v>
      </c>
      <c r="B9" t="s">
        <v>13</v>
      </c>
      <c r="F9" t="str">
        <f t="shared" si="0"/>
        <v>logintime datetime,</v>
      </c>
    </row>
    <row r="10" spans="1:12" x14ac:dyDescent="0.25">
      <c r="A10" t="s">
        <v>45</v>
      </c>
      <c r="B10" t="s">
        <v>35</v>
      </c>
      <c r="F10" t="str">
        <f t="shared" si="0"/>
        <v>feedback varchar(255),</v>
      </c>
    </row>
    <row r="11" spans="1:12" x14ac:dyDescent="0.25">
      <c r="A11" t="s">
        <v>39</v>
      </c>
      <c r="B11" t="s">
        <v>41</v>
      </c>
      <c r="D11" t="s">
        <v>23</v>
      </c>
      <c r="F11" t="str">
        <f t="shared" si="0"/>
        <v>FOREIGN KEY(profile) references Profile(tid),</v>
      </c>
    </row>
    <row r="12" spans="1:12" x14ac:dyDescent="0.25">
      <c r="A12" t="s">
        <v>42</v>
      </c>
      <c r="B12" t="s">
        <v>43</v>
      </c>
      <c r="D12" t="s">
        <v>23</v>
      </c>
      <c r="F12" t="str">
        <f t="shared" si="0"/>
        <v>FOREIGN KEY(meeting) references Meeting(tid),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reate_table">
                <anchor moveWithCells="1" sizeWithCells="1">
                  <from>
                    <xdr:col>9</xdr:col>
                    <xdr:colOff>28575</xdr:colOff>
                    <xdr:row>1</xdr:row>
                    <xdr:rowOff>57150</xdr:rowOff>
                  </from>
                  <to>
                    <xdr:col>10</xdr:col>
                    <xdr:colOff>581025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9"/>
  <sheetViews>
    <sheetView workbookViewId="0">
      <selection activeCell="B3" sqref="B3:B19"/>
    </sheetView>
  </sheetViews>
  <sheetFormatPr defaultRowHeight="15" x14ac:dyDescent="0.25"/>
  <cols>
    <col min="1" max="1" width="12.5703125" bestFit="1" customWidth="1"/>
  </cols>
  <sheetData>
    <row r="1" spans="1:2" x14ac:dyDescent="0.25">
      <c r="A1" t="s">
        <v>29</v>
      </c>
    </row>
    <row r="2" spans="1:2" x14ac:dyDescent="0.25">
      <c r="A2" t="s">
        <v>46</v>
      </c>
      <c r="B2" t="str">
        <f>"insert into Classification(classification) values('" &amp; A2 &amp; "');"</f>
        <v>insert into Classification(classification) values('Pre-College');</v>
      </c>
    </row>
    <row r="3" spans="1:2" x14ac:dyDescent="0.25">
      <c r="A3" t="s">
        <v>47</v>
      </c>
      <c r="B3" t="str">
        <f t="shared" ref="B3:B8" si="0">"insert into Classification(classification) values('" &amp; A3 &amp; "');"</f>
        <v>insert into Classification(classification) values('Freshman');</v>
      </c>
    </row>
    <row r="4" spans="1:2" x14ac:dyDescent="0.25">
      <c r="A4" t="s">
        <v>48</v>
      </c>
      <c r="B4" t="str">
        <f t="shared" si="0"/>
        <v>insert into Classification(classification) values('Sophomore');</v>
      </c>
    </row>
    <row r="5" spans="1:2" x14ac:dyDescent="0.25">
      <c r="A5" t="s">
        <v>49</v>
      </c>
      <c r="B5" t="str">
        <f t="shared" si="0"/>
        <v>insert into Classification(classification) values('Junior');</v>
      </c>
    </row>
    <row r="6" spans="1:2" x14ac:dyDescent="0.25">
      <c r="A6" t="s">
        <v>50</v>
      </c>
      <c r="B6" t="str">
        <f t="shared" si="0"/>
        <v>insert into Classification(classification) values('Senior');</v>
      </c>
    </row>
    <row r="7" spans="1:2" x14ac:dyDescent="0.25">
      <c r="A7" t="s">
        <v>52</v>
      </c>
      <c r="B7" t="str">
        <f t="shared" si="0"/>
        <v>insert into Classification(classification) values('Grad Student');</v>
      </c>
    </row>
    <row r="8" spans="1:2" x14ac:dyDescent="0.25">
      <c r="A8" t="s">
        <v>51</v>
      </c>
      <c r="B8" t="str">
        <f t="shared" si="0"/>
        <v>insert into Classification(classification) values('Advisor');</v>
      </c>
    </row>
    <row r="11" spans="1:2" x14ac:dyDescent="0.25">
      <c r="A11" t="s">
        <v>53</v>
      </c>
      <c r="B11" t="str">
        <f>"insert into Gender(type)values('" &amp; A11 &amp; "');"</f>
        <v>insert into Gender(type)values('Female');</v>
      </c>
    </row>
    <row r="12" spans="1:2" x14ac:dyDescent="0.25">
      <c r="A12" t="s">
        <v>54</v>
      </c>
      <c r="B12" t="str">
        <f t="shared" ref="B12:B15" si="1">"insert into Gender(type)values('" &amp; A12 &amp; "');"</f>
        <v>insert into Gender(type)values('Trans');</v>
      </c>
    </row>
    <row r="13" spans="1:2" x14ac:dyDescent="0.25">
      <c r="A13" t="s">
        <v>55</v>
      </c>
      <c r="B13" t="str">
        <f t="shared" si="1"/>
        <v>insert into Gender(type)values('Non-Binary');</v>
      </c>
    </row>
    <row r="14" spans="1:2" x14ac:dyDescent="0.25">
      <c r="A14" t="s">
        <v>56</v>
      </c>
      <c r="B14" t="str">
        <f t="shared" si="1"/>
        <v>insert into Gender(type)values('Fluid');</v>
      </c>
    </row>
    <row r="15" spans="1:2" x14ac:dyDescent="0.25">
      <c r="A15" t="s">
        <v>57</v>
      </c>
      <c r="B15" t="str">
        <f t="shared" si="1"/>
        <v>insert into Gender(type)values('Male');</v>
      </c>
    </row>
    <row r="18" spans="1:2" x14ac:dyDescent="0.25">
      <c r="A18" t="s">
        <v>24</v>
      </c>
      <c r="B18" t="str">
        <f>"insert into MemberType(memberType)values('" &amp; A18 &amp; "');"</f>
        <v>insert into MemberType(memberType)values('Student');</v>
      </c>
    </row>
    <row r="19" spans="1:2" x14ac:dyDescent="0.25">
      <c r="A19" t="s">
        <v>58</v>
      </c>
      <c r="B19" t="str">
        <f>"insert into MemberType(memberType)values('" &amp; A19 &amp; "');"</f>
        <v>insert into MemberType(memberType)values('Admin');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5"/>
  <sheetViews>
    <sheetView workbookViewId="0">
      <selection activeCell="A15" sqref="A15"/>
    </sheetView>
  </sheetViews>
  <sheetFormatPr defaultRowHeight="15" x14ac:dyDescent="0.25"/>
  <cols>
    <col min="1" max="1" width="90.28515625" bestFit="1" customWidth="1"/>
    <col min="2" max="2" width="27" customWidth="1"/>
  </cols>
  <sheetData>
    <row r="1" spans="1:2" x14ac:dyDescent="0.25">
      <c r="A1" t="s">
        <v>0</v>
      </c>
    </row>
    <row r="2" spans="1:2" x14ac:dyDescent="0.25">
      <c r="A2" t="s">
        <v>1</v>
      </c>
    </row>
    <row r="4" spans="1:2" x14ac:dyDescent="0.25">
      <c r="A4" t="s">
        <v>2</v>
      </c>
      <c r="B4" t="s">
        <v>3</v>
      </c>
    </row>
    <row r="5" spans="1:2" x14ac:dyDescent="0.25">
      <c r="A5" t="s">
        <v>4</v>
      </c>
      <c r="B5" t="s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Profile</vt:lpstr>
      <vt:lpstr>Gender</vt:lpstr>
      <vt:lpstr>Classification</vt:lpstr>
      <vt:lpstr>MemberType</vt:lpstr>
      <vt:lpstr>Meeting</vt:lpstr>
      <vt:lpstr>Attendance</vt:lpstr>
      <vt:lpstr>Sheet1</vt:lpstr>
      <vt:lpstr>Links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Steven Fassnacht</dc:creator>
  <cp:lastModifiedBy>Steven Fassnacht</cp:lastModifiedBy>
  <dcterms:created xsi:type="dcterms:W3CDTF">2019-09-19T18:15:08Z</dcterms:created>
  <dcterms:modified xsi:type="dcterms:W3CDTF">2019-11-02T20:05:38Z</dcterms:modified>
</cp:coreProperties>
</file>